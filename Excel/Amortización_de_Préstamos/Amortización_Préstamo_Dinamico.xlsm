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1_Documentos\02_Excel&amp;VBA\03 Proyectos Finalizados\Loan_Amortization\"/>
    </mc:Choice>
  </mc:AlternateContent>
  <xr:revisionPtr revIDLastSave="0" documentId="13_ncr:1_{0BD570BC-91CA-419F-96A5-C04DD5C394C5}" xr6:coauthVersionLast="47" xr6:coauthVersionMax="47" xr10:uidLastSave="{00000000-0000-0000-0000-000000000000}"/>
  <bookViews>
    <workbookView xWindow="-108" yWindow="-108" windowWidth="23256" windowHeight="12456" xr2:uid="{82CD2ACE-D57F-47D4-AE45-82FB23677FC2}"/>
  </bookViews>
  <sheets>
    <sheet name="Amortización" sheetId="1" r:id="rId1"/>
    <sheet name="Instructivo" sheetId="3" r:id="rId2"/>
  </sheets>
  <definedNames>
    <definedName name="DatosExternos_1" localSheetId="0" hidden="1">Amortización!$H$7:$H$19</definedName>
    <definedName name="TermMonths">Amortización!$D$11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K8" i="1"/>
  <c r="K9" i="1"/>
  <c r="K10" i="1"/>
  <c r="K11" i="1"/>
  <c r="K12" i="1"/>
  <c r="K13" i="1"/>
  <c r="K14" i="1"/>
  <c r="K15" i="1"/>
  <c r="K16" i="1"/>
  <c r="K17" i="1"/>
  <c r="K18" i="1"/>
  <c r="K19" i="1"/>
  <c r="Q10" i="1"/>
  <c r="D16" i="1" l="1"/>
  <c r="J13" i="1" l="1"/>
  <c r="L13" i="1" s="1"/>
  <c r="J16" i="1"/>
  <c r="L16" i="1" s="1"/>
  <c r="J9" i="1"/>
  <c r="L9" i="1" s="1"/>
  <c r="J14" i="1"/>
  <c r="L14" i="1" s="1"/>
  <c r="J15" i="1"/>
  <c r="L15" i="1" s="1"/>
  <c r="J8" i="1"/>
  <c r="L8" i="1" s="1"/>
  <c r="M8" i="1" s="1"/>
  <c r="I9" i="1" s="1"/>
  <c r="M9" i="1" s="1"/>
  <c r="I10" i="1" s="1"/>
  <c r="M10" i="1" s="1"/>
  <c r="I11" i="1" s="1"/>
  <c r="M11" i="1" s="1"/>
  <c r="I12" i="1" s="1"/>
  <c r="M12" i="1" s="1"/>
  <c r="I13" i="1" s="1"/>
  <c r="M13" i="1" s="1"/>
  <c r="I14" i="1" s="1"/>
  <c r="M14" i="1" s="1"/>
  <c r="I15" i="1" s="1"/>
  <c r="M15" i="1" s="1"/>
  <c r="I16" i="1" s="1"/>
  <c r="M16" i="1" s="1"/>
  <c r="I17" i="1" s="1"/>
  <c r="J17" i="1"/>
  <c r="L17" i="1" s="1"/>
  <c r="J10" i="1"/>
  <c r="L10" i="1" s="1"/>
  <c r="J11" i="1"/>
  <c r="L11" i="1" s="1"/>
  <c r="J19" i="1"/>
  <c r="L19" i="1" s="1"/>
  <c r="J12" i="1"/>
  <c r="L12" i="1" s="1"/>
  <c r="J18" i="1"/>
  <c r="L18" i="1" s="1"/>
  <c r="K20" i="1"/>
  <c r="D17" i="1" s="1"/>
  <c r="M17" i="1" l="1"/>
  <c r="I18" i="1" s="1"/>
  <c r="M18" i="1" s="1"/>
  <c r="I19" i="1" s="1"/>
  <c r="M19" i="1" s="1"/>
  <c r="J20" i="1"/>
  <c r="L20" i="1"/>
  <c r="D18" i="1" s="1"/>
  <c r="D1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C47246-3358-42B6-BBFE-84C0BF271D68}" keepAlive="1" name="Consulta - Período" description="Conexión a la consulta 'Período' en el libro." type="5" refreshedVersion="8" background="1" saveData="1">
    <dbPr connection="Provider=Microsoft.Mashup.OleDb.1;Data Source=$Workbook$;Location=Período;Extended Properties=&quot;&quot;" command="SELECT * FROM [Período]"/>
  </connection>
  <connection id="2" xr16:uid="{8C5E5BA0-F378-4AAC-96F0-01D8BEE3D9C4}" keepAlive="1" name="Consulta - TermMonths" description="Conexión a la consulta 'TermMonths' en el libro." type="5" refreshedVersion="0" background="1">
    <dbPr connection="Provider=Microsoft.Mashup.OleDb.1;Data Source=$Workbook$;Location=TermMonths;Extended Properties=&quot;&quot;" command="SELECT * FROM [TermMonths]"/>
  </connection>
</connections>
</file>

<file path=xl/sharedStrings.xml><?xml version="1.0" encoding="utf-8"?>
<sst xmlns="http://schemas.openxmlformats.org/spreadsheetml/2006/main" count="66" uniqueCount="63">
  <si>
    <t>LoanAmt</t>
  </si>
  <si>
    <t>IntRate</t>
  </si>
  <si>
    <t>TermMonths</t>
  </si>
  <si>
    <t>Período</t>
  </si>
  <si>
    <t>Monthly PMT</t>
  </si>
  <si>
    <t>Payment</t>
  </si>
  <si>
    <t>Total</t>
  </si>
  <si>
    <t>Total Interes</t>
  </si>
  <si>
    <t>Total Principal</t>
  </si>
  <si>
    <t>Total Payment</t>
  </si>
  <si>
    <t>Total loan amount</t>
  </si>
  <si>
    <t>Annual interest rate</t>
  </si>
  <si>
    <t>Cuadro de amortización con filas dinamicas</t>
  </si>
  <si>
    <t>Datos necesarios</t>
  </si>
  <si>
    <t>Monto total del préstamo</t>
  </si>
  <si>
    <t>Interes anual</t>
  </si>
  <si>
    <t>Plazo en meses</t>
  </si>
  <si>
    <t>Esta celda nos va a servir para determinar la cantidad de filas que va a tener nuestro cuadro de amortización cada vez que lo actualicemos.</t>
  </si>
  <si>
    <t>2°)</t>
  </si>
  <si>
    <t>1°)</t>
  </si>
  <si>
    <t xml:space="preserve"> Nos paramos en la celda "C6" y le asignamos un nombre en el cuadro de nombres, en este caso "TermMonths".</t>
  </si>
  <si>
    <t>Nos posicionamos en la celda "C6" y vamos a =&gt; Datos =&gt; Desde una tabla, esto nos lleva a Power Query, deberria aparecer de la</t>
  </si>
  <si>
    <t>siguiente manera:</t>
  </si>
  <si>
    <t>Sobre el número 36 hacemos click con el boton derecho sobre "Rastrear desagruapando datos", quedando de la siguiente forma</t>
  </si>
  <si>
    <t>Por último, vamos a guardar y cargar en =&gt; Solo conexión, como se muestra en la siguiente imagen:</t>
  </si>
  <si>
    <t>Generación de consulta para saber el plazo del préstamo y saber el número de filas del cuadro de armortización</t>
  </si>
  <si>
    <t>Generación de consulta para crear la lista dinámica de períodos</t>
  </si>
  <si>
    <t>Para generar la lista dinámica de períodos necesitamos comenzar con una consulta en blanco de power query, para ello vamos a:</t>
  </si>
  <si>
    <t>Datos =&gt; Nueva Consulta =&gt; Desde otras fuentes =&gt; Consulta en Blanco, en la barra de formulas de power query escribimos lo siguiente:</t>
  </si>
  <si>
    <t>en power query deberia quedar de la siguiente forma:</t>
  </si>
  <si>
    <t>hacemos click en enter generando el siguiente resultado:</t>
  </si>
  <si>
    <t>Tambien cambios el nombre de la consulta a "Período", luego vamos a cerrar y cargar en =&gt; Tabla =&gt; Hoja de calculo existente</t>
  </si>
  <si>
    <t>En el excel nos deberia quedar de la siguiente forma</t>
  </si>
  <si>
    <t>Interest</t>
  </si>
  <si>
    <t>Cuadro de armortización: Armado Final</t>
  </si>
  <si>
    <t>A la derecha de la columna "Período" que generamos desde power query agregamos las siguientes columnas:</t>
  </si>
  <si>
    <t>Quedandonos el cuadro de la siguiente forma:</t>
  </si>
  <si>
    <t>👉 Saldo Inicial</t>
  </si>
  <si>
    <t>👉 Payment</t>
  </si>
  <si>
    <t>👉 Interest</t>
  </si>
  <si>
    <t>👉 Amortizacion</t>
  </si>
  <si>
    <t>👉 Saldo Final</t>
  </si>
  <si>
    <t>👉 Saldo Inicial: Nos posicionamos en la primera celda ("G5") y escribimos la siguiente formula:</t>
  </si>
  <si>
    <t>👉 Payment: En la celda "H5" escribimos lo siguiente</t>
  </si>
  <si>
    <t>👉 Interest: En la celda "H5" escribimos lo siguiente</t>
  </si>
  <si>
    <t>[@Período] esta haciendo referencia a la columna Período del cuadro de amortización</t>
  </si>
  <si>
    <t>TermMonth hace referencia a la cuadro de nombre que establecimos al principio donde se encuentra el plazo del préstamo</t>
  </si>
  <si>
    <t>👉 Amortizacion:</t>
  </si>
  <si>
    <t>👉 Saldo Final:</t>
  </si>
  <si>
    <t>Por último nos posicionamos en cualquier sector de la tabla, y vamos a "Diseño de Tabla", en la misma tildamos "Fila de totales"</t>
  </si>
  <si>
    <t>una vez que hayamos realizado esto nos aparece un fila nueva llamada "Total", si nos posicionamos en cada celda de la fila total hay un menu desplegable</t>
  </si>
  <si>
    <t>vamos a utilizar la función suma para las columnas: "Payment", "Interest" y "amortización, para la columna "Saldo Final" usamos ninguno</t>
  </si>
  <si>
    <t>Initial Balance</t>
  </si>
  <si>
    <t>Amortization</t>
  </si>
  <si>
    <t>Final Balance</t>
  </si>
  <si>
    <t>Reference</t>
  </si>
  <si>
    <t>complete data</t>
  </si>
  <si>
    <t>Month</t>
  </si>
  <si>
    <t>Loan Amortization</t>
  </si>
  <si>
    <t>Plan de amortización</t>
  </si>
  <si>
    <t>Hipótesis del préstamo</t>
  </si>
  <si>
    <t>Detalles del préstamo</t>
  </si>
  <si>
    <t>Cuota 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</si>
</sst>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\ #,##0.00;[Red]\-&quot;$&quot;\ #,##0.00"/>
    <numFmt numFmtId="165" formatCode="#,##0;[Red]\(#,##0\)"/>
  </numFmts>
  <fonts count="9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sz val="12"/>
      <color theme="1"/>
      <name val="Calibri"/>
      <family val="2"/>
    </font>
    <font>
      <sz val="11"/>
      <color theme="2" tint="-0.499984740745262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u/>
      <sz val="11"/>
      <color theme="1"/>
      <name val="Calibri"/>
      <family val="2"/>
    </font>
    <font>
      <b/>
      <u/>
      <sz val="12"/>
      <color theme="0"/>
      <name val="Calibri"/>
      <family val="2"/>
    </font>
    <font>
      <b/>
      <sz val="18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6" fillId="0" borderId="0" xfId="0" applyFont="1"/>
    <xf numFmtId="0" fontId="7" fillId="3" borderId="0" xfId="0" applyFont="1" applyFill="1" applyAlignment="1">
      <alignment horizontal="centerContinuous" vertical="center"/>
    </xf>
    <xf numFmtId="0" fontId="5" fillId="3" borderId="0" xfId="0" applyFont="1" applyFill="1" applyAlignment="1">
      <alignment horizontal="centerContinuous" vertical="center"/>
    </xf>
    <xf numFmtId="0" fontId="4" fillId="3" borderId="0" xfId="0" applyFont="1" applyFill="1"/>
    <xf numFmtId="0" fontId="5" fillId="3" borderId="0" xfId="0" applyFont="1" applyFill="1"/>
    <xf numFmtId="0" fontId="0" fillId="0" borderId="0" xfId="0" quotePrefix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5" fontId="0" fillId="4" borderId="0" xfId="0" applyNumberFormat="1" applyFill="1"/>
    <xf numFmtId="165" fontId="3" fillId="0" borderId="0" xfId="0" applyNumberFormat="1" applyFont="1"/>
    <xf numFmtId="9" fontId="0" fillId="4" borderId="0" xfId="0" applyNumberFormat="1" applyFill="1"/>
    <xf numFmtId="9" fontId="3" fillId="0" borderId="0" xfId="0" applyNumberFormat="1" applyFont="1"/>
    <xf numFmtId="0" fontId="0" fillId="4" borderId="0" xfId="0" applyFill="1"/>
    <xf numFmtId="0" fontId="3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5" borderId="0" xfId="0" applyFont="1" applyFill="1" applyAlignment="1">
      <alignment horizontal="centerContinuous" vertical="center"/>
    </xf>
    <xf numFmtId="0" fontId="0" fillId="5" borderId="0" xfId="0" applyFill="1" applyAlignment="1">
      <alignment horizontal="centerContinuous" vertical="center"/>
    </xf>
    <xf numFmtId="0" fontId="0" fillId="5" borderId="0" xfId="0" applyFill="1"/>
    <xf numFmtId="0" fontId="2" fillId="0" borderId="0" xfId="0" applyFont="1" applyAlignment="1">
      <alignment vertical="center"/>
    </xf>
    <xf numFmtId="0" fontId="0" fillId="0" borderId="0" xfId="0" applyBorder="1"/>
    <xf numFmtId="0" fontId="1" fillId="0" borderId="0" xfId="0" applyFont="1" applyFill="1" applyBorder="1"/>
    <xf numFmtId="0" fontId="0" fillId="0" borderId="0" xfId="0" applyFill="1" applyBorder="1"/>
    <xf numFmtId="164" fontId="0" fillId="0" borderId="0" xfId="0" applyNumberFormat="1" applyBorder="1"/>
    <xf numFmtId="0" fontId="1" fillId="0" borderId="0" xfId="0" applyFont="1" applyBorder="1"/>
    <xf numFmtId="164" fontId="1" fillId="0" borderId="0" xfId="0" applyNumberFormat="1" applyFont="1" applyBorder="1"/>
    <xf numFmtId="165" fontId="3" fillId="0" borderId="0" xfId="0" applyNumberFormat="1" applyFont="1" applyBorder="1"/>
    <xf numFmtId="0" fontId="0" fillId="4" borderId="0" xfId="0" applyFill="1" applyBorder="1"/>
    <xf numFmtId="0" fontId="0" fillId="6" borderId="0" xfId="0" applyFill="1"/>
  </cellXfs>
  <cellStyles count="1">
    <cellStyle name="Normal" xfId="0" builtinId="0"/>
  </cellStyles>
  <dxfs count="13">
    <dxf>
      <alignment horizontal="left" vertical="center" textRotation="0" wrapText="0" indent="0" justifyLastLine="0" shrinkToFit="0" readingOrder="0"/>
    </dxf>
    <dxf>
      <numFmt numFmtId="164" formatCode="&quot;$&quot;\ #,##0.00;[Red]\-&quot;$&quot;\ #,##0.00"/>
    </dxf>
    <dxf>
      <numFmt numFmtId="164" formatCode="&quot;$&quot;\ #,##0.00;[Red]\-&quot;$&quot;\ #,##0.00"/>
    </dxf>
    <dxf>
      <numFmt numFmtId="164" formatCode="&quot;$&quot;\ #,##0.00;[Red]\-&quot;$&quot;\ #,##0.00"/>
    </dxf>
    <dxf>
      <numFmt numFmtId="164" formatCode="&quot;$&quot;\ #,##0.00;[Red]\-&quot;$&quot;\ #,##0.00"/>
    </dxf>
    <dxf>
      <numFmt numFmtId="164" formatCode="&quot;$&quot;\ #,##0.00;[Red]\-&quot;$&quot;\ #,##0.0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&quot;$&quot;\ #,##0.00;[Red]\-&quot;$&quot;\ #,##0.00"/>
    </dxf>
    <dxf>
      <numFmt numFmtId="164" formatCode="&quot;$&quot;\ #,##0.00;[Red]\-&quot;$&quot;\ #,##0.00"/>
    </dxf>
    <dxf>
      <numFmt numFmtId="164" formatCode="&quot;$&quot;\ #,##0.00;[Red]\-&quot;$&quot;\ #,##0.00"/>
    </dxf>
    <dxf>
      <numFmt numFmtId="164" formatCode="&quot;$&quot;\ #,##0.00;[Red]\-&quot;$&quot;\ #,##0.00"/>
    </dxf>
    <dxf>
      <numFmt numFmtId="164" formatCode="&quot;$&quot;\ #,##0.00;[Red]\-&quot;$&quot;\ #,##0.00"/>
    </dxf>
  </dxfs>
  <tableStyles count="1" defaultTableStyle="TableStyleMedium2" defaultPivotStyle="PivotStyleLight16">
    <tableStyle name="Invisible" pivot="0" table="0" count="0" xr9:uid="{72E1A25A-626B-4D96-AFCD-0C824E79F78F}"/>
  </tableStyles>
  <colors>
    <mruColors>
      <color rgb="FF00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118534</xdr:colOff>
      <xdr:row>2</xdr:row>
      <xdr:rowOff>84666</xdr:rowOff>
    </xdr:from>
    <xdr:to>
      <xdr:col>10</xdr:col>
      <xdr:colOff>939801</xdr:colOff>
      <xdr:row>4</xdr:row>
      <xdr:rowOff>84667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A1939190-02F5-B633-7B56-E9E7C6351FE7}"/>
            </a:ext>
          </a:extLst>
        </xdr:cNvPr>
        <xdr:cNvGrpSpPr/>
      </xdr:nvGrpSpPr>
      <xdr:grpSpPr>
        <a:xfrm>
          <a:off x="6002867" y="584199"/>
          <a:ext cx="1888067" cy="381001"/>
          <a:chOff x="4385733" y="3860800"/>
          <a:chExt cx="2294467" cy="533400"/>
        </a:xfrm>
      </xdr:grpSpPr>
      <xdr:sp macro="[0]!Actualizartabl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21CA0102-4E28-4A27-2445-F1FBD14388BD}"/>
              </a:ext>
            </a:extLst>
          </xdr:cNvPr>
          <xdr:cNvSpPr/>
        </xdr:nvSpPr>
        <xdr:spPr>
          <a:xfrm>
            <a:off x="4385733" y="3860800"/>
            <a:ext cx="2294467" cy="533400"/>
          </a:xfrm>
          <a:prstGeom prst="round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pic macro="[0]!Actualizartabla">
        <xdr:nvPicPr>
          <xdr:cNvPr id="5" name="Gráfico 4" descr="Repetir con relleno sólido">
            <a:extLst>
              <a:ext uri="{FF2B5EF4-FFF2-40B4-BE49-F238E27FC236}">
                <a16:creationId xmlns:a16="http://schemas.microsoft.com/office/drawing/2014/main" id="{333BC209-5CED-BDAF-E7BE-01BABC28E8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11134" y="3936998"/>
            <a:ext cx="423333" cy="423333"/>
          </a:xfrm>
          <a:prstGeom prst="rect">
            <a:avLst/>
          </a:prstGeom>
        </xdr:spPr>
      </xdr:pic>
      <xdr:sp macro="[0]!Actualizartabla" textlink="">
        <xdr:nvSpPr>
          <xdr:cNvPr id="7" name="CuadroTexto 6">
            <a:extLst>
              <a:ext uri="{FF2B5EF4-FFF2-40B4-BE49-F238E27FC236}">
                <a16:creationId xmlns:a16="http://schemas.microsoft.com/office/drawing/2014/main" id="{6DB54715-ACDE-55E7-BBDF-27ECAEAD7E23}"/>
              </a:ext>
            </a:extLst>
          </xdr:cNvPr>
          <xdr:cNvSpPr txBox="1"/>
        </xdr:nvSpPr>
        <xdr:spPr>
          <a:xfrm>
            <a:off x="5054600" y="3987801"/>
            <a:ext cx="1481553" cy="319315"/>
          </a:xfrm>
          <a:prstGeom prst="rect">
            <a:avLst/>
          </a:prstGeom>
          <a:noFill/>
          <a:ln>
            <a:noFill/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100" b="1"/>
              <a:t>Update Table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40958</xdr:colOff>
      <xdr:row>14</xdr:row>
      <xdr:rowOff>47625</xdr:rowOff>
    </xdr:from>
    <xdr:to>
      <xdr:col>10</xdr:col>
      <xdr:colOff>276225</xdr:colOff>
      <xdr:row>23</xdr:row>
      <xdr:rowOff>190083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5E6BFC0-4D5F-9176-F8C4-612A20EBE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458" y="2247900"/>
          <a:ext cx="8160067" cy="185695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8</xdr:col>
      <xdr:colOff>504825</xdr:colOff>
      <xdr:row>19</xdr:row>
      <xdr:rowOff>47625</xdr:rowOff>
    </xdr:from>
    <xdr:to>
      <xdr:col>10</xdr:col>
      <xdr:colOff>438150</xdr:colOff>
      <xdr:row>21</xdr:row>
      <xdr:rowOff>28575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FAC5BD9-1F12-D3F3-C9C4-D7953159F867}"/>
            </a:ext>
          </a:extLst>
        </xdr:cNvPr>
        <xdr:cNvSpPr/>
      </xdr:nvSpPr>
      <xdr:spPr>
        <a:xfrm>
          <a:off x="6915150" y="3200400"/>
          <a:ext cx="1457325" cy="3619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7</xdr:col>
      <xdr:colOff>228600</xdr:colOff>
      <xdr:row>20</xdr:row>
      <xdr:rowOff>19050</xdr:rowOff>
    </xdr:from>
    <xdr:to>
      <xdr:col>8</xdr:col>
      <xdr:colOff>504825</xdr:colOff>
      <xdr:row>20</xdr:row>
      <xdr:rowOff>38100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724DD04A-8858-7FD9-0E65-1BF4645BAF95}"/>
            </a:ext>
          </a:extLst>
        </xdr:cNvPr>
        <xdr:cNvCxnSpPr>
          <a:stCxn id="3" idx="1"/>
        </xdr:cNvCxnSpPr>
      </xdr:nvCxnSpPr>
      <xdr:spPr>
        <a:xfrm flipH="1" flipV="1">
          <a:off x="5876925" y="3362325"/>
          <a:ext cx="1038225" cy="190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19</xdr:row>
      <xdr:rowOff>47625</xdr:rowOff>
    </xdr:from>
    <xdr:to>
      <xdr:col>7</xdr:col>
      <xdr:colOff>161925</xdr:colOff>
      <xdr:row>22</xdr:row>
      <xdr:rowOff>114300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5AC17846-FBC7-1464-18AA-CEE47CC716B6}"/>
            </a:ext>
          </a:extLst>
        </xdr:cNvPr>
        <xdr:cNvSpPr txBox="1"/>
      </xdr:nvSpPr>
      <xdr:spPr>
        <a:xfrm>
          <a:off x="3914775" y="3200400"/>
          <a:ext cx="1895475" cy="63817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Este</a:t>
          </a:r>
          <a:r>
            <a:rPr lang="es-AR" sz="1100" baseline="0"/>
            <a:t> recuadro es para colocarle  el nombre a la consulta</a:t>
          </a:r>
          <a:endParaRPr lang="es-AR" sz="1100"/>
        </a:p>
      </xdr:txBody>
    </xdr:sp>
    <xdr:clientData/>
  </xdr:twoCellAnchor>
  <xdr:twoCellAnchor editAs="oneCell">
    <xdr:from>
      <xdr:col>1</xdr:col>
      <xdr:colOff>53202</xdr:colOff>
      <xdr:row>26</xdr:row>
      <xdr:rowOff>76199</xdr:rowOff>
    </xdr:from>
    <xdr:to>
      <xdr:col>10</xdr:col>
      <xdr:colOff>285749</xdr:colOff>
      <xdr:row>38</xdr:row>
      <xdr:rowOff>150571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9DF39C4-4C46-19BB-BD29-D8944F3F5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3702" y="4562474"/>
          <a:ext cx="8157347" cy="236037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39391</xdr:colOff>
      <xdr:row>41</xdr:row>
      <xdr:rowOff>47625</xdr:rowOff>
    </xdr:from>
    <xdr:to>
      <xdr:col>3</xdr:col>
      <xdr:colOff>1114426</xdr:colOff>
      <xdr:row>54</xdr:row>
      <xdr:rowOff>57151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C5BE7394-9878-F83B-7216-15A05A488F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2639" b="7075"/>
        <a:stretch/>
      </xdr:blipFill>
      <xdr:spPr>
        <a:xfrm>
          <a:off x="229891" y="7581900"/>
          <a:ext cx="2837160" cy="248602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</xdr:col>
      <xdr:colOff>28576</xdr:colOff>
      <xdr:row>59</xdr:row>
      <xdr:rowOff>85726</xdr:rowOff>
    </xdr:from>
    <xdr:to>
      <xdr:col>2</xdr:col>
      <xdr:colOff>561976</xdr:colOff>
      <xdr:row>60</xdr:row>
      <xdr:rowOff>142876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A6DAA33-A9D0-88CF-C4B4-9AE3C96A43F9}"/>
            </a:ext>
          </a:extLst>
        </xdr:cNvPr>
        <xdr:cNvSpPr txBox="1"/>
      </xdr:nvSpPr>
      <xdr:spPr>
        <a:xfrm>
          <a:off x="219076" y="10858501"/>
          <a:ext cx="1352550" cy="247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={1..TermMonths}</a:t>
          </a:r>
        </a:p>
      </xdr:txBody>
    </xdr:sp>
    <xdr:clientData/>
  </xdr:twoCellAnchor>
  <xdr:twoCellAnchor editAs="oneCell">
    <xdr:from>
      <xdr:col>1</xdr:col>
      <xdr:colOff>19050</xdr:colOff>
      <xdr:row>62</xdr:row>
      <xdr:rowOff>78593</xdr:rowOff>
    </xdr:from>
    <xdr:to>
      <xdr:col>9</xdr:col>
      <xdr:colOff>104775</xdr:colOff>
      <xdr:row>71</xdr:row>
      <xdr:rowOff>68058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21C348-CEDB-836E-509A-28978ACF6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11422868"/>
          <a:ext cx="7248525" cy="170396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50290</xdr:colOff>
      <xdr:row>73</xdr:row>
      <xdr:rowOff>76199</xdr:rowOff>
    </xdr:from>
    <xdr:to>
      <xdr:col>9</xdr:col>
      <xdr:colOff>257176</xdr:colOff>
      <xdr:row>86</xdr:row>
      <xdr:rowOff>170938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BD9319B-4D99-AA35-20F9-63E4C64D6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0790" y="13515974"/>
          <a:ext cx="7369686" cy="2571239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66676</xdr:colOff>
      <xdr:row>89</xdr:row>
      <xdr:rowOff>76201</xdr:rowOff>
    </xdr:from>
    <xdr:to>
      <xdr:col>3</xdr:col>
      <xdr:colOff>1066800</xdr:colOff>
      <xdr:row>103</xdr:row>
      <xdr:rowOff>57813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4FC0B6-ABF3-7334-C810-703FE2DC54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2202" r="2985" b="3794"/>
        <a:stretch/>
      </xdr:blipFill>
      <xdr:spPr>
        <a:xfrm>
          <a:off x="257176" y="16411576"/>
          <a:ext cx="2762249" cy="2648612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42937</xdr:colOff>
      <xdr:row>105</xdr:row>
      <xdr:rowOff>19050</xdr:rowOff>
    </xdr:from>
    <xdr:to>
      <xdr:col>2</xdr:col>
      <xdr:colOff>123701</xdr:colOff>
      <xdr:row>120</xdr:row>
      <xdr:rowOff>47170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6D4B7FCD-0FE3-B6A2-BDEA-2E06DD72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3437" y="19402425"/>
          <a:ext cx="785614" cy="2885620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228600</xdr:colOff>
      <xdr:row>139</xdr:row>
      <xdr:rowOff>66674</xdr:rowOff>
    </xdr:from>
    <xdr:to>
      <xdr:col>3</xdr:col>
      <xdr:colOff>285515</xdr:colOff>
      <xdr:row>140</xdr:row>
      <xdr:rowOff>123825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D3FC26E-CF84-21BD-3A98-E856A42C3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046" t="17075" b="19502"/>
        <a:stretch/>
      </xdr:blipFill>
      <xdr:spPr>
        <a:xfrm>
          <a:off x="419100" y="25069799"/>
          <a:ext cx="1819040" cy="24765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38100</xdr:colOff>
      <xdr:row>130</xdr:row>
      <xdr:rowOff>76200</xdr:rowOff>
    </xdr:from>
    <xdr:to>
      <xdr:col>7</xdr:col>
      <xdr:colOff>180252</xdr:colOff>
      <xdr:row>136</xdr:row>
      <xdr:rowOff>104629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705D8DA-F0DD-AD19-D3C8-8A8A2DE6A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8600" y="23936325"/>
          <a:ext cx="5780952" cy="1171429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238124</xdr:colOff>
      <xdr:row>142</xdr:row>
      <xdr:rowOff>102870</xdr:rowOff>
    </xdr:from>
    <xdr:to>
      <xdr:col>3</xdr:col>
      <xdr:colOff>733126</xdr:colOff>
      <xdr:row>143</xdr:row>
      <xdr:rowOff>140970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4C28E3D3-5D71-EE40-769D-D832B5F97B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5201" t="18184" b="9079"/>
        <a:stretch/>
      </xdr:blipFill>
      <xdr:spPr>
        <a:xfrm>
          <a:off x="436244" y="25081230"/>
          <a:ext cx="2308562" cy="220980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247650</xdr:colOff>
      <xdr:row>145</xdr:row>
      <xdr:rowOff>47625</xdr:rowOff>
    </xdr:from>
    <xdr:to>
      <xdr:col>4</xdr:col>
      <xdr:colOff>151983</xdr:colOff>
      <xdr:row>146</xdr:row>
      <xdr:rowOff>114301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A3BE265F-71DA-3BF1-E963-6D5E70616B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2286" t="19447" b="5543"/>
        <a:stretch/>
      </xdr:blipFill>
      <xdr:spPr>
        <a:xfrm>
          <a:off x="438150" y="26765250"/>
          <a:ext cx="3257133" cy="257176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190500</xdr:colOff>
      <xdr:row>151</xdr:row>
      <xdr:rowOff>76200</xdr:rowOff>
    </xdr:from>
    <xdr:to>
      <xdr:col>3</xdr:col>
      <xdr:colOff>218851</xdr:colOff>
      <xdr:row>152</xdr:row>
      <xdr:rowOff>161890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5BA9CF87-8538-92F0-0FB6-BEF21D0F2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81000" y="27689175"/>
          <a:ext cx="1790476" cy="276190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219075</xdr:colOff>
      <xdr:row>155</xdr:row>
      <xdr:rowOff>66674</xdr:rowOff>
    </xdr:from>
    <xdr:to>
      <xdr:col>3</xdr:col>
      <xdr:colOff>761696</xdr:colOff>
      <xdr:row>156</xdr:row>
      <xdr:rowOff>85725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E7784BA8-5E1D-1D75-57D7-E36E114380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5099" t="21625" b="18908"/>
        <a:stretch/>
      </xdr:blipFill>
      <xdr:spPr>
        <a:xfrm>
          <a:off x="409575" y="28441649"/>
          <a:ext cx="2304746" cy="20955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57150</xdr:colOff>
      <xdr:row>160</xdr:row>
      <xdr:rowOff>161925</xdr:rowOff>
    </xdr:from>
    <xdr:to>
      <xdr:col>7</xdr:col>
      <xdr:colOff>28575</xdr:colOff>
      <xdr:row>168</xdr:row>
      <xdr:rowOff>38101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140B4CAA-B8E4-4FD6-A8D2-4EEF3F9564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27383" t="65763" r="29493" b="15093"/>
        <a:stretch/>
      </xdr:blipFill>
      <xdr:spPr>
        <a:xfrm>
          <a:off x="247650" y="29489400"/>
          <a:ext cx="5610225" cy="1400176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881D63A-3CC4-43C1-99A9-1D479D8B2C2D}" autoFormatId="16" applyNumberFormats="0" applyBorderFormats="0" applyFontFormats="0" applyPatternFormats="0" applyAlignmentFormats="0" applyWidthHeightFormats="0">
  <queryTableRefresh nextId="7" unboundColumnsRight="5">
    <queryTableFields count="6">
      <queryTableField id="1" name="Período" tableColumnId="2"/>
      <queryTableField id="2" dataBound="0" tableColumnId="3"/>
      <queryTableField id="6" dataBound="0" tableColumnId="7"/>
      <queryTableField id="3" dataBound="0" tableColumnId="4"/>
      <queryTableField id="4" dataBound="0" tableColumnId="5"/>
      <queryTableField id="5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18B4CD-2596-4AA8-B217-D41BBB8F0AE6}" name="Período" displayName="Período" ref="H7:M20" tableType="queryTable" totalsRowCount="1" headerRowDxfId="0">
  <autoFilter ref="H7:M19" xr:uid="{0E18B4CD-2596-4AA8-B217-D41BBB8F0AE6}"/>
  <tableColumns count="6">
    <tableColumn id="2" xr3:uid="{8821E1BA-E663-464C-8CE0-DCF5F1A7F71E}" uniqueName="2" name="Período" totalsRowLabel="Total" queryTableFieldId="1" dataDxfId="6" totalsRowDxfId="7"/>
    <tableColumn id="3" xr3:uid="{BA8988F1-A5A3-4903-B502-ED8194A6CFE2}" uniqueName="3" name="Initial Balance" queryTableFieldId="2" dataDxfId="5" totalsRowDxfId="8">
      <calculatedColumnFormula>+IF(ISTEXT(M7),$D$9,M7)</calculatedColumnFormula>
    </tableColumn>
    <tableColumn id="7" xr3:uid="{3705A357-1CCD-4BA1-BEC4-8B857401E862}" uniqueName="7" name="Payment" totalsRowFunction="sum" queryTableFieldId="6" dataDxfId="4" totalsRowDxfId="9">
      <calculatedColumnFormula>+$D$16</calculatedColumnFormula>
    </tableColumn>
    <tableColumn id="4" xr3:uid="{C2D1CCD3-8751-4B6E-B16A-A1D21C89B92B}" uniqueName="4" name="Interest" totalsRowFunction="sum" queryTableFieldId="3" dataDxfId="3" totalsRowDxfId="10">
      <calculatedColumnFormula>-IPMT($D$10/12,Período[[#This Row],[Período]],TermMonths,$D$9)</calculatedColumnFormula>
    </tableColumn>
    <tableColumn id="5" xr3:uid="{C22C98A1-7710-4E40-AD86-0FF7A0527AF2}" uniqueName="5" name="Amortization" totalsRowFunction="sum" queryTableFieldId="4" dataDxfId="2" totalsRowDxfId="11">
      <calculatedColumnFormula>+Período[[#This Row],[Payment]]-Período[[#This Row],[Interest]]</calculatedColumnFormula>
    </tableColumn>
    <tableColumn id="6" xr3:uid="{D207D7E1-4AA7-4EDC-9A5A-F955A90D62FE}" uniqueName="6" name="Final Balance" queryTableFieldId="5" dataDxfId="1" totalsRowDxfId="12">
      <calculatedColumnFormula>+Período[[#This Row],[Initial Balance]]-Período[[#This Row],[Amortization]]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CB18-5539-4BB2-9A42-22B4FC0064D5}">
  <sheetPr codeName="Hoja1"/>
  <dimension ref="A1:S22"/>
  <sheetViews>
    <sheetView showGridLines="0" tabSelected="1" zoomScale="90" zoomScaleNormal="90" workbookViewId="0">
      <selection activeCell="H7" sqref="H7:M20"/>
    </sheetView>
  </sheetViews>
  <sheetFormatPr baseColWidth="10" defaultRowHeight="14.4" x14ac:dyDescent="0.3"/>
  <cols>
    <col min="1" max="1" width="1.44140625" customWidth="1"/>
    <col min="2" max="2" width="2.88671875" customWidth="1"/>
    <col min="3" max="3" width="14.88671875" customWidth="1"/>
    <col min="4" max="4" width="15.33203125" bestFit="1" customWidth="1"/>
    <col min="6" max="6" width="7.77734375" customWidth="1"/>
    <col min="7" max="7" width="3.21875" customWidth="1"/>
    <col min="8" max="8" width="10.33203125" bestFit="1" customWidth="1"/>
    <col min="9" max="9" width="18.21875" bestFit="1" customWidth="1"/>
    <col min="10" max="10" width="15.5546875" bestFit="1" customWidth="1"/>
    <col min="11" max="11" width="14.44140625" bestFit="1" customWidth="1"/>
    <col min="12" max="13" width="17.44140625" bestFit="1" customWidth="1"/>
    <col min="14" max="14" width="1.21875" customWidth="1"/>
    <col min="17" max="17" width="13.44140625" bestFit="1" customWidth="1"/>
  </cols>
  <sheetData>
    <row r="1" spans="1:19" ht="24.6" customHeight="1" x14ac:dyDescent="0.3">
      <c r="A1" s="28" t="s">
        <v>58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30"/>
    </row>
    <row r="4" spans="1:19" ht="15.6" x14ac:dyDescent="0.3">
      <c r="H4" s="31" t="s">
        <v>59</v>
      </c>
    </row>
    <row r="5" spans="1:19" ht="15.6" x14ac:dyDescent="0.3">
      <c r="H5" s="1"/>
    </row>
    <row r="6" spans="1:19" ht="4.05" customHeight="1" x14ac:dyDescent="0.3"/>
    <row r="7" spans="1:19" ht="15.6" x14ac:dyDescent="0.3">
      <c r="B7" s="14" t="s">
        <v>60</v>
      </c>
      <c r="C7" s="15"/>
      <c r="D7" s="15"/>
      <c r="E7" s="15"/>
      <c r="F7" s="16"/>
      <c r="H7" s="6" t="s">
        <v>3</v>
      </c>
      <c r="I7" s="5" t="s">
        <v>52</v>
      </c>
      <c r="J7" s="5" t="s">
        <v>5</v>
      </c>
      <c r="K7" s="5" t="s">
        <v>33</v>
      </c>
      <c r="L7" s="5" t="s">
        <v>53</v>
      </c>
      <c r="M7" s="5" t="s">
        <v>54</v>
      </c>
      <c r="Q7" s="2" t="s">
        <v>55</v>
      </c>
    </row>
    <row r="8" spans="1:19" x14ac:dyDescent="0.3">
      <c r="B8" s="17"/>
      <c r="F8" s="18"/>
      <c r="H8" s="4">
        <v>1</v>
      </c>
      <c r="I8" s="3">
        <f t="shared" ref="I8:I19" si="0">+IF(ISTEXT(M7),$D$9,M7)</f>
        <v>10000000</v>
      </c>
      <c r="J8" s="3">
        <f t="shared" ref="J8:J19" si="1">+$D$16</f>
        <v>999629.87336112873</v>
      </c>
      <c r="K8" s="3">
        <f>-IPMT($D$10/12,Período[[#This Row],[Período]],TermMonths,$D$9)</f>
        <v>291666.66666666663</v>
      </c>
      <c r="L8" s="3">
        <f>+Período[[#This Row],[Payment]]-Período[[#This Row],[Interest]]</f>
        <v>707963.2066944621</v>
      </c>
      <c r="M8" s="3">
        <f>+Período[[#This Row],[Initial Balance]]-Período[[#This Row],[Amortization]]</f>
        <v>9292036.7933055386</v>
      </c>
      <c r="Q8" s="39" t="s">
        <v>56</v>
      </c>
    </row>
    <row r="9" spans="1:19" x14ac:dyDescent="0.3">
      <c r="B9" s="17"/>
      <c r="C9" s="2" t="s">
        <v>0</v>
      </c>
      <c r="D9" s="19">
        <v>10000000</v>
      </c>
      <c r="E9" s="20" t="s">
        <v>10</v>
      </c>
      <c r="F9" s="18"/>
      <c r="H9" s="4">
        <v>2</v>
      </c>
      <c r="I9" s="3">
        <f t="shared" si="0"/>
        <v>9292036.7933055386</v>
      </c>
      <c r="J9" s="3">
        <f t="shared" si="1"/>
        <v>999629.87336112873</v>
      </c>
      <c r="K9" s="3">
        <f>-IPMT($D$10/12,Período[[#This Row],[Período]],TermMonths,$D$9)</f>
        <v>271017.73980474478</v>
      </c>
      <c r="L9" s="3">
        <f>+Período[[#This Row],[Payment]]-Período[[#This Row],[Interest]]</f>
        <v>728612.13355638389</v>
      </c>
      <c r="M9" s="3">
        <f>+Período[[#This Row],[Initial Balance]]-Período[[#This Row],[Amortization]]</f>
        <v>8563424.659749154</v>
      </c>
      <c r="Q9" s="32"/>
    </row>
    <row r="10" spans="1:19" x14ac:dyDescent="0.3">
      <c r="B10" s="17"/>
      <c r="C10" s="2" t="s">
        <v>1</v>
      </c>
      <c r="D10" s="21">
        <v>0.35</v>
      </c>
      <c r="E10" s="22" t="s">
        <v>11</v>
      </c>
      <c r="F10" s="18"/>
      <c r="H10" s="4">
        <v>3</v>
      </c>
      <c r="I10" s="3">
        <f t="shared" si="0"/>
        <v>8563424.659749154</v>
      </c>
      <c r="J10" s="3">
        <f t="shared" si="1"/>
        <v>999629.87336112873</v>
      </c>
      <c r="K10" s="3">
        <f>-IPMT($D$10/12,Período[[#This Row],[Período]],TermMonths,$D$9)</f>
        <v>249766.55257601695</v>
      </c>
      <c r="L10" s="3">
        <f>+Período[[#This Row],[Payment]]-Período[[#This Row],[Interest]]</f>
        <v>749863.32078511175</v>
      </c>
      <c r="M10" s="3">
        <f>+Período[[#This Row],[Initial Balance]]-Período[[#This Row],[Amortization]]</f>
        <v>7813561.3389640423</v>
      </c>
      <c r="Q10" s="40" t="str">
        <f ca="1">+_xlfn.FORMULATEXT(D16)</f>
        <v>=-PAGO(D10/12;TermMonths;D9)</v>
      </c>
      <c r="R10" s="40"/>
      <c r="S10" s="40"/>
    </row>
    <row r="11" spans="1:19" x14ac:dyDescent="0.3">
      <c r="B11" s="17"/>
      <c r="C11" s="2" t="s">
        <v>2</v>
      </c>
      <c r="D11" s="23">
        <v>12</v>
      </c>
      <c r="E11" s="24" t="s">
        <v>57</v>
      </c>
      <c r="F11" s="18"/>
      <c r="H11" s="4">
        <v>4</v>
      </c>
      <c r="I11" s="3">
        <f t="shared" si="0"/>
        <v>7813561.3389640423</v>
      </c>
      <c r="J11" s="3">
        <f t="shared" si="1"/>
        <v>999629.87336112873</v>
      </c>
      <c r="K11" s="3">
        <f>-IPMT($D$10/12,Período[[#This Row],[Período]],TermMonths,$D$9)</f>
        <v>227895.53905311789</v>
      </c>
      <c r="L11" s="3">
        <f>+Período[[#This Row],[Payment]]-Período[[#This Row],[Interest]]</f>
        <v>771734.33430801088</v>
      </c>
      <c r="M11" s="3">
        <f>+Período[[#This Row],[Initial Balance]]-Período[[#This Row],[Amortization]]</f>
        <v>7041827.0046560317</v>
      </c>
    </row>
    <row r="12" spans="1:19" x14ac:dyDescent="0.3">
      <c r="B12" s="25"/>
      <c r="C12" s="26"/>
      <c r="D12" s="26"/>
      <c r="E12" s="26"/>
      <c r="F12" s="27"/>
      <c r="H12" s="4">
        <v>5</v>
      </c>
      <c r="I12" s="3">
        <f t="shared" si="0"/>
        <v>7041827.0046560317</v>
      </c>
      <c r="J12" s="3">
        <f t="shared" si="1"/>
        <v>999629.87336112873</v>
      </c>
      <c r="K12" s="3">
        <f>-IPMT($D$10/12,Período[[#This Row],[Período]],TermMonths,$D$9)</f>
        <v>205386.62096913415</v>
      </c>
      <c r="L12" s="3">
        <f>+Período[[#This Row],[Payment]]-Período[[#This Row],[Interest]]</f>
        <v>794243.25239199458</v>
      </c>
      <c r="M12" s="3">
        <f>+Período[[#This Row],[Initial Balance]]-Período[[#This Row],[Amortization]]</f>
        <v>6247583.7522640368</v>
      </c>
    </row>
    <row r="13" spans="1:19" x14ac:dyDescent="0.3">
      <c r="H13" s="4">
        <v>6</v>
      </c>
      <c r="I13" s="3">
        <f t="shared" si="0"/>
        <v>6247583.7522640368</v>
      </c>
      <c r="J13" s="3">
        <f t="shared" si="1"/>
        <v>999629.87336112873</v>
      </c>
      <c r="K13" s="3">
        <f>-IPMT($D$10/12,Período[[#This Row],[Período]],TermMonths,$D$9)</f>
        <v>182221.19277436769</v>
      </c>
      <c r="L13" s="3">
        <f>+Período[[#This Row],[Payment]]-Período[[#This Row],[Interest]]</f>
        <v>817408.6805867611</v>
      </c>
      <c r="M13" s="3">
        <f>+Período[[#This Row],[Initial Balance]]-Período[[#This Row],[Amortization]]</f>
        <v>5430175.0716772759</v>
      </c>
    </row>
    <row r="14" spans="1:19" ht="15.6" x14ac:dyDescent="0.3">
      <c r="B14" s="14" t="s">
        <v>61</v>
      </c>
      <c r="C14" s="15"/>
      <c r="D14" s="15"/>
      <c r="E14" s="15"/>
      <c r="F14" s="16"/>
      <c r="H14" s="4">
        <v>7</v>
      </c>
      <c r="I14" s="3">
        <f t="shared" si="0"/>
        <v>5430175.0716772759</v>
      </c>
      <c r="J14" s="3">
        <f t="shared" si="1"/>
        <v>999629.87336112873</v>
      </c>
      <c r="K14" s="3">
        <f>-IPMT($D$10/12,Período[[#This Row],[Período]],TermMonths,$D$9)</f>
        <v>158380.10625725382</v>
      </c>
      <c r="L14" s="3">
        <f>+Período[[#This Row],[Payment]]-Período[[#This Row],[Interest]]</f>
        <v>841249.76710387494</v>
      </c>
      <c r="M14" s="3">
        <f>+Período[[#This Row],[Initial Balance]]-Período[[#This Row],[Amortization]]</f>
        <v>4588925.3045734009</v>
      </c>
    </row>
    <row r="15" spans="1:19" x14ac:dyDescent="0.3">
      <c r="B15" s="17"/>
      <c r="C15" s="32"/>
      <c r="D15" s="32"/>
      <c r="E15" s="35"/>
      <c r="F15" s="18"/>
      <c r="H15" s="4">
        <v>8</v>
      </c>
      <c r="I15" s="3">
        <f t="shared" si="0"/>
        <v>4588925.3045734009</v>
      </c>
      <c r="J15" s="3">
        <f t="shared" si="1"/>
        <v>999629.87336112873</v>
      </c>
      <c r="K15" s="3">
        <f>-IPMT($D$10/12,Período[[#This Row],[Período]],TermMonths,$D$9)</f>
        <v>133843.65471672415</v>
      </c>
      <c r="L15" s="3">
        <f>+Período[[#This Row],[Payment]]-Período[[#This Row],[Interest]]</f>
        <v>865786.21864440455</v>
      </c>
      <c r="M15" s="3">
        <f>+Período[[#This Row],[Initial Balance]]-Período[[#This Row],[Amortization]]</f>
        <v>3723139.0859289961</v>
      </c>
    </row>
    <row r="16" spans="1:19" x14ac:dyDescent="0.3">
      <c r="B16" s="17"/>
      <c r="C16" s="36" t="s">
        <v>4</v>
      </c>
      <c r="D16" s="37">
        <f>-PMT(D10/12,TermMonths,D9)</f>
        <v>999629.87336112873</v>
      </c>
      <c r="E16" s="38" t="s">
        <v>62</v>
      </c>
      <c r="F16" s="18"/>
      <c r="H16" s="4">
        <v>9</v>
      </c>
      <c r="I16" s="3">
        <f t="shared" si="0"/>
        <v>3723139.0859289961</v>
      </c>
      <c r="J16" s="3">
        <f t="shared" si="1"/>
        <v>999629.87336112873</v>
      </c>
      <c r="K16" s="3">
        <f>-IPMT($D$10/12,Período[[#This Row],[Período]],TermMonths,$D$9)</f>
        <v>108591.556672929</v>
      </c>
      <c r="L16" s="3">
        <f>+Período[[#This Row],[Payment]]-Período[[#This Row],[Interest]]</f>
        <v>891038.31668819976</v>
      </c>
      <c r="M16" s="3">
        <f>+Período[[#This Row],[Initial Balance]]-Período[[#This Row],[Amortization]]</f>
        <v>2832100.7692407966</v>
      </c>
    </row>
    <row r="17" spans="2:13" x14ac:dyDescent="0.3">
      <c r="B17" s="17"/>
      <c r="C17" s="36" t="s">
        <v>7</v>
      </c>
      <c r="D17" s="37">
        <f>+Período[[#Totals],[Interest]]</f>
        <v>1995558.4803335466</v>
      </c>
      <c r="E17" s="35"/>
      <c r="F17" s="18"/>
      <c r="H17" s="4">
        <v>10</v>
      </c>
      <c r="I17" s="3">
        <f t="shared" si="0"/>
        <v>2832100.7692407966</v>
      </c>
      <c r="J17" s="3">
        <f t="shared" si="1"/>
        <v>999629.87336112873</v>
      </c>
      <c r="K17" s="3">
        <f>-IPMT($D$10/12,Período[[#This Row],[Período]],TermMonths,$D$9)</f>
        <v>82602.939102856501</v>
      </c>
      <c r="L17" s="3">
        <f>+Período[[#This Row],[Payment]]-Período[[#This Row],[Interest]]</f>
        <v>917026.93425827217</v>
      </c>
      <c r="M17" s="3">
        <f>+Período[[#This Row],[Initial Balance]]-Período[[#This Row],[Amortization]]</f>
        <v>1915073.8349825244</v>
      </c>
    </row>
    <row r="18" spans="2:13" x14ac:dyDescent="0.3">
      <c r="B18" s="17"/>
      <c r="C18" s="36" t="s">
        <v>8</v>
      </c>
      <c r="D18" s="37">
        <f>+Período[[#Totals],[Amortization]]</f>
        <v>9999999.9999999981</v>
      </c>
      <c r="E18" s="35"/>
      <c r="F18" s="18"/>
      <c r="H18" s="4">
        <v>11</v>
      </c>
      <c r="I18" s="3">
        <f t="shared" si="0"/>
        <v>1915073.8349825244</v>
      </c>
      <c r="J18" s="3">
        <f t="shared" si="1"/>
        <v>999629.87336112873</v>
      </c>
      <c r="K18" s="3">
        <f>-IPMT($D$10/12,Período[[#This Row],[Período]],TermMonths,$D$9)</f>
        <v>55856.32018699024</v>
      </c>
      <c r="L18" s="3">
        <f>+Período[[#This Row],[Payment]]-Período[[#This Row],[Interest]]</f>
        <v>943773.55317413853</v>
      </c>
      <c r="M18" s="3">
        <f>+Período[[#This Row],[Initial Balance]]-Período[[#This Row],[Amortization]]</f>
        <v>971300.28180838586</v>
      </c>
    </row>
    <row r="19" spans="2:13" x14ac:dyDescent="0.3">
      <c r="B19" s="17"/>
      <c r="C19" s="36" t="s">
        <v>9</v>
      </c>
      <c r="D19" s="37">
        <f>+D17+D18</f>
        <v>11995558.480333544</v>
      </c>
      <c r="E19" s="32"/>
      <c r="F19" s="18"/>
      <c r="H19" s="4">
        <v>12</v>
      </c>
      <c r="I19" s="3">
        <f t="shared" si="0"/>
        <v>971300.28180838586</v>
      </c>
      <c r="J19" s="3">
        <f t="shared" si="1"/>
        <v>999629.87336112873</v>
      </c>
      <c r="K19" s="3">
        <f>-IPMT($D$10/12,Período[[#This Row],[Período]],TermMonths,$D$9)</f>
        <v>28329.591552744536</v>
      </c>
      <c r="L19" s="3">
        <f>+Período[[#This Row],[Payment]]-Período[[#This Row],[Interest]]</f>
        <v>971300.28180838423</v>
      </c>
      <c r="M19" s="3">
        <f>+Período[[#This Row],[Initial Balance]]-Período[[#This Row],[Amortization]]</f>
        <v>1.6298145055770874E-9</v>
      </c>
    </row>
    <row r="20" spans="2:13" x14ac:dyDescent="0.3">
      <c r="B20" s="25"/>
      <c r="C20" s="26"/>
      <c r="D20" s="26"/>
      <c r="E20" s="26"/>
      <c r="F20" s="27"/>
      <c r="H20" s="4" t="s">
        <v>6</v>
      </c>
      <c r="I20" s="3"/>
      <c r="J20" s="3">
        <f>SUBTOTAL(109,Período[Payment])</f>
        <v>11995558.480333546</v>
      </c>
      <c r="K20" s="3">
        <f>SUBTOTAL(109,Período[Interest])</f>
        <v>1995558.4803335466</v>
      </c>
      <c r="L20" s="3">
        <f>SUBTOTAL(109,Período[Amortization])</f>
        <v>9999999.9999999981</v>
      </c>
      <c r="M20" s="3"/>
    </row>
    <row r="21" spans="2:13" x14ac:dyDescent="0.3">
      <c r="B21" s="32"/>
      <c r="C21" s="33"/>
      <c r="D21" s="32"/>
      <c r="E21" s="32"/>
      <c r="F21" s="32"/>
    </row>
    <row r="22" spans="2:13" x14ac:dyDescent="0.3">
      <c r="B22" s="32"/>
      <c r="C22" s="34"/>
      <c r="D22" s="32"/>
      <c r="E22" s="32"/>
      <c r="F22" s="32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96520-3EE0-4073-9530-166A02554DB9}">
  <dimension ref="A1:N160"/>
  <sheetViews>
    <sheetView showGridLines="0" topLeftCell="A46" workbookViewId="0">
      <selection activeCell="B161" sqref="B161"/>
    </sheetView>
  </sheetViews>
  <sheetFormatPr baseColWidth="10" defaultRowHeight="14.4" x14ac:dyDescent="0.3"/>
  <cols>
    <col min="1" max="1" width="2.88671875" customWidth="1"/>
    <col min="2" max="2" width="10.5546875" customWidth="1"/>
    <col min="3" max="3" width="15.88671875" customWidth="1"/>
    <col min="4" max="4" width="23.88671875" bestFit="1" customWidth="1"/>
  </cols>
  <sheetData>
    <row r="1" spans="1:14" ht="24" customHeight="1" x14ac:dyDescent="0.3">
      <c r="A1" s="9" t="s">
        <v>12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</row>
    <row r="2" spans="1:14" ht="8.25" customHeight="1" x14ac:dyDescent="0.3"/>
    <row r="3" spans="1:14" x14ac:dyDescent="0.3">
      <c r="A3" s="8" t="s">
        <v>13</v>
      </c>
    </row>
    <row r="4" spans="1:14" x14ac:dyDescent="0.3">
      <c r="B4" s="2" t="s">
        <v>0</v>
      </c>
      <c r="C4" s="7"/>
      <c r="D4" t="s">
        <v>14</v>
      </c>
    </row>
    <row r="5" spans="1:14" x14ac:dyDescent="0.3">
      <c r="B5" s="2" t="s">
        <v>1</v>
      </c>
      <c r="C5" s="7"/>
      <c r="D5" t="s">
        <v>15</v>
      </c>
    </row>
    <row r="6" spans="1:14" x14ac:dyDescent="0.3">
      <c r="B6" s="2" t="s">
        <v>2</v>
      </c>
      <c r="C6" s="7"/>
      <c r="D6" t="s">
        <v>16</v>
      </c>
    </row>
    <row r="7" spans="1:14" ht="6" customHeight="1" x14ac:dyDescent="0.3">
      <c r="B7" s="2"/>
    </row>
    <row r="8" spans="1:14" x14ac:dyDescent="0.3">
      <c r="B8" s="11" t="s">
        <v>25</v>
      </c>
      <c r="C8" s="12"/>
      <c r="D8" s="12"/>
      <c r="E8" s="12"/>
      <c r="F8" s="12"/>
      <c r="G8" s="12"/>
      <c r="H8" s="12"/>
      <c r="I8" s="12"/>
    </row>
    <row r="9" spans="1:14" ht="6.75" customHeight="1" x14ac:dyDescent="0.3"/>
    <row r="10" spans="1:14" x14ac:dyDescent="0.3">
      <c r="A10" s="2" t="s">
        <v>19</v>
      </c>
      <c r="B10" t="s">
        <v>20</v>
      </c>
    </row>
    <row r="11" spans="1:14" x14ac:dyDescent="0.3">
      <c r="B11" t="s">
        <v>17</v>
      </c>
    </row>
    <row r="12" spans="1:14" ht="7.5" customHeight="1" x14ac:dyDescent="0.3"/>
    <row r="13" spans="1:14" x14ac:dyDescent="0.3">
      <c r="A13" s="2" t="s">
        <v>18</v>
      </c>
      <c r="B13" t="s">
        <v>21</v>
      </c>
    </row>
    <row r="14" spans="1:14" x14ac:dyDescent="0.3">
      <c r="B14" t="s">
        <v>22</v>
      </c>
    </row>
    <row r="25" spans="2:2" ht="7.5" customHeight="1" x14ac:dyDescent="0.3"/>
    <row r="26" spans="2:2" x14ac:dyDescent="0.3">
      <c r="B26" t="s">
        <v>23</v>
      </c>
    </row>
    <row r="40" spans="2:2" ht="7.5" customHeight="1" x14ac:dyDescent="0.3"/>
    <row r="41" spans="2:2" x14ac:dyDescent="0.3">
      <c r="B41" t="s">
        <v>24</v>
      </c>
    </row>
    <row r="55" spans="1:9" ht="8.25" customHeight="1" x14ac:dyDescent="0.3"/>
    <row r="56" spans="1:9" x14ac:dyDescent="0.3">
      <c r="B56" s="11" t="s">
        <v>26</v>
      </c>
      <c r="C56" s="12"/>
      <c r="D56" s="12"/>
      <c r="E56" s="12"/>
      <c r="F56" s="12"/>
      <c r="G56" s="12"/>
      <c r="H56" s="12"/>
      <c r="I56" s="12"/>
    </row>
    <row r="57" spans="1:9" ht="6.75" customHeight="1" x14ac:dyDescent="0.3"/>
    <row r="58" spans="1:9" x14ac:dyDescent="0.3">
      <c r="A58" s="2"/>
      <c r="B58" t="s">
        <v>27</v>
      </c>
    </row>
    <row r="59" spans="1:9" x14ac:dyDescent="0.3">
      <c r="B59" t="s">
        <v>28</v>
      </c>
    </row>
    <row r="62" spans="1:9" x14ac:dyDescent="0.3">
      <c r="B62" t="s">
        <v>29</v>
      </c>
    </row>
    <row r="72" spans="2:2" ht="9.75" customHeight="1" x14ac:dyDescent="0.3"/>
    <row r="73" spans="2:2" x14ac:dyDescent="0.3">
      <c r="B73" t="s">
        <v>30</v>
      </c>
    </row>
    <row r="88" spans="2:2" ht="8.25" customHeight="1" x14ac:dyDescent="0.3"/>
    <row r="89" spans="2:2" x14ac:dyDescent="0.3">
      <c r="B89" t="s">
        <v>31</v>
      </c>
    </row>
    <row r="105" spans="2:2" x14ac:dyDescent="0.3">
      <c r="B105" t="s">
        <v>32</v>
      </c>
    </row>
    <row r="121" spans="2:9" ht="8.25" customHeight="1" x14ac:dyDescent="0.3"/>
    <row r="122" spans="2:9" x14ac:dyDescent="0.3">
      <c r="B122" s="11" t="s">
        <v>34</v>
      </c>
      <c r="C122" s="12"/>
      <c r="D122" s="12"/>
      <c r="E122" s="12"/>
      <c r="F122" s="12"/>
      <c r="G122" s="12"/>
      <c r="H122" s="12"/>
      <c r="I122" s="12"/>
    </row>
    <row r="124" spans="2:9" x14ac:dyDescent="0.3">
      <c r="B124" t="s">
        <v>35</v>
      </c>
    </row>
    <row r="125" spans="2:9" x14ac:dyDescent="0.3">
      <c r="C125" t="s">
        <v>37</v>
      </c>
    </row>
    <row r="126" spans="2:9" x14ac:dyDescent="0.3">
      <c r="C126" t="s">
        <v>38</v>
      </c>
    </row>
    <row r="127" spans="2:9" x14ac:dyDescent="0.3">
      <c r="C127" t="s">
        <v>39</v>
      </c>
    </row>
    <row r="128" spans="2:9" x14ac:dyDescent="0.3">
      <c r="C128" t="s">
        <v>40</v>
      </c>
    </row>
    <row r="129" spans="2:3" x14ac:dyDescent="0.3">
      <c r="C129" t="s">
        <v>41</v>
      </c>
    </row>
    <row r="130" spans="2:3" x14ac:dyDescent="0.3">
      <c r="B130" t="s">
        <v>36</v>
      </c>
    </row>
    <row r="138" spans="2:3" ht="3.75" customHeight="1" x14ac:dyDescent="0.3"/>
    <row r="139" spans="2:3" x14ac:dyDescent="0.3">
      <c r="B139" t="s">
        <v>42</v>
      </c>
    </row>
    <row r="142" spans="2:3" x14ac:dyDescent="0.3">
      <c r="B142" t="s">
        <v>43</v>
      </c>
    </row>
    <row r="145" spans="2:2" x14ac:dyDescent="0.3">
      <c r="B145" t="s">
        <v>44</v>
      </c>
    </row>
    <row r="148" spans="2:2" x14ac:dyDescent="0.3">
      <c r="B148" s="13" t="s">
        <v>45</v>
      </c>
    </row>
    <row r="149" spans="2:2" x14ac:dyDescent="0.3">
      <c r="B149" s="13" t="s">
        <v>46</v>
      </c>
    </row>
    <row r="150" spans="2:2" ht="6.75" customHeight="1" x14ac:dyDescent="0.3"/>
    <row r="151" spans="2:2" x14ac:dyDescent="0.3">
      <c r="B151" t="s">
        <v>47</v>
      </c>
    </row>
    <row r="155" spans="2:2" x14ac:dyDescent="0.3">
      <c r="B155" t="s">
        <v>48</v>
      </c>
    </row>
    <row r="158" spans="2:2" x14ac:dyDescent="0.3">
      <c r="B158" t="s">
        <v>49</v>
      </c>
    </row>
    <row r="159" spans="2:2" x14ac:dyDescent="0.3">
      <c r="B159" t="s">
        <v>50</v>
      </c>
    </row>
    <row r="160" spans="2:2" x14ac:dyDescent="0.3">
      <c r="B160" t="s">
        <v>51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404087-C087-424D-B146-CDE41063C2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Amortización</vt:lpstr>
      <vt:lpstr>Instructivo</vt:lpstr>
      <vt:lpstr>TermMonths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Caruso, Mauro</dc:creator>
  <cp:lastModifiedBy>MAURO NICOLAS CARUSO</cp:lastModifiedBy>
  <dcterms:created xsi:type="dcterms:W3CDTF">2022-07-22T11:48:20Z</dcterms:created>
  <dcterms:modified xsi:type="dcterms:W3CDTF">2025-06-27T17:40:55Z</dcterms:modified>
</cp:coreProperties>
</file>